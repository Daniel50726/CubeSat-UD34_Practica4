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73c2fca56348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os" sheetId="1" r:id="R6df79bba42eb419b"/>
    <x:sheet xmlns:r="http://schemas.openxmlformats.org/officeDocument/2006/relationships" name="Entradas" sheetId="2" r:id="R347e8417d3d643f2"/>
    <x:sheet xmlns:r="http://schemas.openxmlformats.org/officeDocument/2006/relationships" name="Restricciones" sheetId="3" r:id="R949006f1efdb47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0.0%"/>
    <x:numFmt numFmtId="202" formatCode="#,##0.000"/>
    <x:numFmt numFmtId="203" formatCode="#,##0"/>
  </x:numFmts>
  <x:fonts count="4">
    <x:font>
      <x:sz val="11"/>
      <x:name val="Carlito"/>
    </x:font>
    <x:font>
      <x:sz val="11"/>
      <x:color rgb="FF243447"/>
      <x:name val="Arial"/>
    </x:font>
    <x:font>
      <x:b/>
      <x:sz val="16"/>
      <x:color rgb="FF18354A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8354A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c1b5a029664fda" /><Relationship Type="http://schemas.openxmlformats.org/officeDocument/2006/relationships/theme" Target="/xl/theme/theme1.xml" Id="Rc2f3c568c9c44183" /><Relationship Type="http://schemas.openxmlformats.org/officeDocument/2006/relationships/sharedStrings" Target="/xl/sharedStrings.xml" Id="Rd5b1393dd8654898" /><Relationship Type="http://schemas.openxmlformats.org/officeDocument/2006/relationships/worksheet" Target="/xl/worksheets/sheet1.xml" Id="R6df79bba42eb419b" /><Relationship Type="http://schemas.openxmlformats.org/officeDocument/2006/relationships/worksheet" Target="/xl/worksheets/sheet2.xml" Id="R347e8417d3d643f2" /><Relationship Type="http://schemas.openxmlformats.org/officeDocument/2006/relationships/worksheet" Target="/xl/worksheets/sheet3.xml" Id="R949006f1efdb47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8354A"/>
  </x:sheetPr>
  <x:sheetViews>
    <x:sheetView showGridLines="0" workbookViewId="0"/>
  </x:sheetViews>
  <x:sheetFormatPr defaultRowHeight="15"/>
  <x:cols>
    <x:col min="1" max="1" width="43" hidden="0" customWidth="1"/>
    <x:col min="2" max="2" width="21" hidden="0" customWidth="1"/>
    <x:col min="3" max="3" width="18" hidden="0" customWidth="1"/>
    <x:col min="4" max="4" width="70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Dimensionamiento de la cámara</x:v>
      </x:c>
      <x:c r="B2" s="2"/>
      <x:c r="C2" s="2"/>
      <x:c r="D2" s="2"/>
      <x:c r="E2" s="2"/>
      <x:c r="F2" s="2"/>
    </x:row>
    <x:row r="3" ht="26" customHeight="1">
      <x:c r="A3" s="2" t="str">
        <x:v>Referencia: MQ022HG-IM-SM5X5-7NIR2. RAW16 sin compresión. MB decimales.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Resultado</x:v>
      </x:c>
      <x:c r="B5" s="5" t="str">
        <x:v>Valor</x:v>
      </x:c>
      <x:c r="C5" s="5" t="str">
        <x:v>Unidad</x:v>
      </x:c>
      <x:c r="D5" s="5" t="str">
        <x:v>Interpretación</x:v>
      </x:c>
      <x:c r="E5" s="2"/>
      <x:c r="F5" s="2"/>
    </x:row>
    <x:row r="6" ht="32" customHeight="1">
      <x:c r="A6" s="2" t="str">
        <x:v>Muestras físicas por cuadro</x:v>
      </x:c>
      <x:c r="B6" s="11" t="n">
        <x:f>'Entradas'!B6*'Entradas'!B7</x:f>
        <x:v>2228224</x:v>
      </x:c>
      <x:c r="C6" s="2" t="str">
        <x:v>muestras</x:v>
      </x:c>
      <x:c r="D6" s="6" t="str">
        <x:v>No multiplicar por el número de bandas.</x:v>
      </x:c>
      <x:c r="E6" s="2"/>
      <x:c r="F6" s="2"/>
    </x:row>
    <x:row r="7" ht="32" customHeight="1">
      <x:c r="A7" s="2" t="str">
        <x:v>Bytes por muestra</x:v>
      </x:c>
      <x:c r="B7" s="10" t="n">
        <x:f>'Entradas'!B9/8</x:f>
        <x:v>2</x:v>
      </x:c>
      <x:c r="C7" s="2" t="str">
        <x:v>bytes/muestra</x:v>
      </x:c>
      <x:c r="D7" s="6" t="str">
        <x:v>Contenedor de 16 bits para datos del sensor.</x:v>
      </x:c>
      <x:c r="E7" s="2"/>
      <x:c r="F7" s="2"/>
    </x:row>
    <x:row r="8" ht="32" customHeight="1">
      <x:c r="A8" s="2" t="str">
        <x:v>Volumen del cuadro</x:v>
      </x:c>
      <x:c r="B8" s="11" t="n">
        <x:f>B6*B7+'Entradas'!B13</x:f>
        <x:v>4456448</x:v>
      </x:c>
      <x:c r="C8" s="2" t="str">
        <x:v>bytes</x:v>
      </x:c>
      <x:c r="D8" s="6" t="str">
        <x:v>Incluye el relleno declarado en Entradas.</x:v>
      </x:c>
      <x:c r="E8" s="2"/>
      <x:c r="F8" s="2"/>
    </x:row>
    <x:row r="9" ht="32" customHeight="1">
      <x:c r="A9" s="2" t="str">
        <x:v>Volumen del cuadro en MB</x:v>
      </x:c>
      <x:c r="B9" s="10" t="n">
        <x:f>B8/1000000</x:f>
        <x:v>4.456448</x:v>
      </x:c>
      <x:c r="C9" s="2" t="str">
        <x:v>MB</x:v>
      </x:c>
      <x:c r="D9" s="6" t="str">
        <x:v>Un cuadro bruto completo.</x:v>
      </x:c>
      <x:c r="E9" s="2"/>
      <x:c r="F9" s="2"/>
    </x:row>
    <x:row r="10" ht="32" customHeight="1">
      <x:c r="A10" s="2" t="str">
        <x:v>Imágenes generadas al día</x:v>
      </x:c>
      <x:c r="B10" s="11" t="n">
        <x:f>B8*'Entradas'!B10*'Entradas'!B11</x:f>
        <x:v>44564480</x:v>
      </x:c>
      <x:c r="C10" s="2" t="str">
        <x:v>bytes/día</x:v>
      </x:c>
      <x:c r="D10" s="6" t="str">
        <x:v>Adquisiciones × cuadros por adquisición.</x:v>
      </x:c>
      <x:c r="E10" s="2"/>
      <x:c r="F10" s="2"/>
    </x:row>
    <x:row r="11" ht="32" customHeight="1">
      <x:c r="A11" s="2" t="str">
        <x:v>Imágenes generadas en MB</x:v>
      </x:c>
      <x:c r="B11" s="10" t="n">
        <x:f>B10/1000000</x:f>
        <x:v>44.56448</x:v>
      </x:c>
      <x:c r="C11" s="2" t="str">
        <x:v>MB/día</x:v>
      </x:c>
      <x:c r="D11" s="6" t="str">
        <x:v>Sin telemetría ni protocolo.</x:v>
      </x:c>
      <x:c r="E11" s="2"/>
      <x:c r="F11" s="2"/>
    </x:row>
    <x:row r="12" ht="32" customHeight="1">
      <x:c r="A12" s="2" t="str">
        <x:v>Tasa útil solo para imágenes</x:v>
      </x:c>
      <x:c r="B12" s="10" t="n">
        <x:f>IF('Entradas'!B12&gt;0,B10*8/'Entradas'!B12/1000,"Pendiente")</x:f>
        <x:v>594.1930666666666</x:v>
      </x:c>
      <x:c r="C12" s="2" t="str">
        <x:v>kbit/s</x:v>
      </x:c>
      <x:c r="D12" s="6" t="str">
        <x:v>Debe sostenerse durante el contacto.</x:v>
      </x:c>
      <x:c r="E12" s="2"/>
      <x:c r="F12" s="2"/>
    </x:row>
    <x:row r="13" ht="32" customHeight="1">
      <x:c r="A13" s="2" t="str">
        <x:v>Volumen total diario</x:v>
      </x:c>
      <x:c r="B13" s="11" t="str">
        <x:f>IF(ISNUMBER('Entradas'!B14),B10+'Entradas'!B14*1000000,"Pendiente")</x:f>
        <x:v>Pendiente</x:v>
      </x:c>
      <x:c r="C13" s="2" t="str">
        <x:v>bytes/día</x:v>
      </x:c>
      <x:c r="D13" s="6" t="str">
        <x:v>Requiere telemetría y eventos definidos.</x:v>
      </x:c>
      <x:c r="E13" s="2"/>
      <x:c r="F13" s="2"/>
    </x:row>
    <x:row r="14" ht="32" customHeight="1">
      <x:c r="A14" s="2" t="str">
        <x:v>Tasa física requerida</x:v>
      </x:c>
      <x:c r="B14" s="10" t="str">
        <x:f>IF(AND(ISNUMBER(B13),ISNUMBER('Entradas'!B15),'Entradas'!B15&gt;0,'Entradas'!B15&lt;=1,'Entradas'!B12&gt;0),B13*8/'Entradas'!B12/'Entradas'!B15/1000,"Pendiente")</x:f>
        <x:v>Pendiente</x:v>
      </x:c>
      <x:c r="C14" s="2" t="str">
        <x:v>kbit/s</x:v>
      </x:c>
      <x:c r="D14" s="6" t="str">
        <x:v>No confundir con la velocidad USB.</x:v>
      </x:c>
      <x:c r="E14" s="2"/>
      <x:c r="F14" s="2"/>
    </x:row>
    <x:row r="15" ht="32" customHeight="1">
      <x:c r="A15" s="2"/>
      <x:c r="B15" s="10"/>
      <x:c r="C15" s="2"/>
      <x:c r="D15" s="6"/>
      <x:c r="E15" s="2"/>
      <x:c r="F15" s="2"/>
    </x:row>
    <x:row r="16" ht="32" customHeight="1">
      <x:c r="A16" s="2"/>
      <x:c r="B16" s="10"/>
      <x:c r="C16" s="2"/>
      <x:c r="D16" s="6"/>
      <x:c r="E16" s="2"/>
      <x:c r="F16" s="2"/>
    </x:row>
    <x:row r="17" ht="32" customHeight="1">
      <x:c r="A17" s="2" t="str">
        <x:v>Corriente equivalente de cámara</x:v>
      </x:c>
      <x:c r="B17" s="10" t="n">
        <x:f>'Entradas'!B16/'Entradas'!B17</x:f>
        <x:v>0.32</x:v>
      </x:c>
      <x:c r="C17" s="2" t="str">
        <x:v>A</x:v>
      </x:c>
      <x:c r="D17" s="6" t="str">
        <x:v>No es una corriente máxima de diseño.</x:v>
      </x:c>
      <x:c r="E17" s="2"/>
      <x:c r="F17" s="2"/>
    </x:row>
    <x:row r="18" ht="32" customHeight="1">
      <x:c r="A18" s="2" t="str">
        <x:v>Energía diaria estimada de cámara</x:v>
      </x:c>
      <x:c r="B18" s="10" t="str">
        <x:f>IF(ISNUMBER('Entradas'!B18),'Entradas'!B16*'Entradas'!B18/3600,"Pendiente")</x:f>
        <x:v>Pendiente</x:v>
      </x:c>
      <x:c r="C18" s="2" t="str">
        <x:v>Wh/día</x:v>
      </x:c>
      <x:c r="D18" s="6" t="str">
        <x:v>Potencia constante supuesta; actualizar por modos.</x:v>
      </x:c>
      <x:c r="E18" s="2"/>
      <x:c r="F18" s="2"/>
    </x:row>
    <x:row r="19" ht="32" customHeight="1">
      <x:c r="A19" s="2"/>
      <x:c r="B19" s="10"/>
      <x:c r="C19" s="2"/>
      <x:c r="D19" s="6"/>
      <x:c r="E19" s="2"/>
      <x:c r="F19" s="2"/>
    </x:row>
    <x:row r="20" ht="32" customHeight="1">
      <x:c r="A20" s="2"/>
      <x:c r="B20" s="10"/>
      <x:c r="C20" s="2"/>
      <x:c r="D20" s="6"/>
      <x:c r="E20" s="2"/>
      <x:c r="F20" s="2"/>
    </x:row>
    <x:row r="21" ht="32" customHeight="1">
      <x:c r="A21" s="2" t="str">
        <x:v>Paso proyectado del píxel físico</x:v>
      </x:c>
      <x:c r="B21" s="10" t="n">
        <x:f>'Entradas'!B19*'Entradas'!B20/1000000/('Entradas'!B22/1000)</x:f>
        <x:v>60.49999999999999</x:v>
      </x:c>
      <x:c r="C21" s="2" t="str">
        <x:v>m</x:v>
      </x:c>
      <x:c r="D21" s="6" t="str">
        <x:v>Geometría ideal al nadir.</x:v>
      </x:c>
      <x:c r="E21" s="2"/>
      <x:c r="F21" s="2"/>
    </x:row>
    <x:row r="22" ht="32" customHeight="1">
      <x:c r="A22" s="2" t="str">
        <x:v>Paso proyectado de una banda</x:v>
      </x:c>
      <x:c r="B22" s="10" t="n">
        <x:f>B21*'Entradas'!B21</x:f>
        <x:v>302.49999999999994</x:v>
      </x:c>
      <x:c r="C22" s="2" t="str">
        <x:v>m</x:v>
      </x:c>
      <x:c r="D22" s="6" t="str">
        <x:v>Muestreo; no acredita resolución óptica efectiva.</x:v>
      </x:c>
      <x:c r="E22" s="2"/>
      <x:c r="F22" s="2"/>
    </x:row>
    <x:row r="23" ht="32" customHeight="1">
      <x:c r="A23" s="2" t="str">
        <x:v>Focal para el paso objetivo</x:v>
      </x:c>
      <x:c r="B23" s="10" t="n">
        <x:f>'Entradas'!B19*'Entradas'!B20/1000000*'Entradas'!B21/'Entradas'!B23*1000</x:f>
        <x:v>504.16666666666663</x:v>
      </x:c>
      <x:c r="C23" s="2" t="str">
        <x:v>mm</x:v>
      </x:c>
      <x:c r="D23" s="6" t="str">
        <x:v>Ejemplo geométrico; no lente aprobada.</x:v>
      </x:c>
      <x:c r="E23" s="2"/>
      <x:c r="F23" s="2"/>
    </x:row>
    <x:row r="24" ht="32" customHeight="1">
      <x:c r="A24" s="2"/>
      <x:c r="B24" s="10"/>
      <x:c r="C24" s="2"/>
      <x:c r="D24" s="6"/>
      <x:c r="E24" s="2"/>
      <x:c r="F24" s="2"/>
    </x:row>
    <x:row r="25" ht="32" customHeight="1">
      <x:c r="A25" s="2"/>
      <x:c r="B25" s="10"/>
      <x:c r="C25" s="2"/>
      <x:c r="D25" s="6"/>
      <x:c r="E25" s="2"/>
      <x:c r="F25" s="2"/>
    </x:row>
    <x:row r="26" ht="32" customHeight="1">
      <x:c r="A26" s="2" t="str">
        <x:v>Capacidad útil mínima de misión</x:v>
      </x:c>
      <x:c r="B26" s="10" t="str">
        <x:f>IF(AND(ISNUMBER(B13),COUNT('Entradas'!B24:B26)=3),(B13*'Entradas'!B24)/1000000+'Entradas'!B25+'Entradas'!B26,"Pendiente")</x:f>
        <x:v>Pendiente</x:v>
      </x:c>
      <x:c r="C26" s="2" t="str">
        <x:v>MB</x:v>
      </x:c>
      <x:c r="D26" s="6" t="str">
        <x:v>Datos previos + generación × días + reserva.</x:v>
      </x:c>
      <x:c r="E26" s="2"/>
      <x:c r="F26" s="2"/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Efecto de la focal (misma altura y mismo sensor)</x:v>
      </x:c>
      <x:c r="B29" s="2"/>
      <x:c r="C29" s="2"/>
      <x:c r="D29" s="2"/>
      <x:c r="E29" s="2"/>
      <x:c r="F29" s="2"/>
    </x:row>
    <x:row r="30" ht="30" customHeight="1">
      <x:c r="A30" s="5" t="str">
        <x:v>Focal (mm)</x:v>
      </x:c>
      <x:c r="B30" s="5" t="str">
        <x:v>Paso físico (m)</x:v>
      </x:c>
      <x:c r="C30" s="5" t="str">
        <x:v>Paso de banda (m)</x:v>
      </x:c>
      <x:c r="D30" s="5" t="str">
        <x:v>Estado</x:v>
      </x:c>
      <x:c r="E30" s="2"/>
      <x:c r="F30" s="2"/>
    </x:row>
    <x:row r="31" ht="26" customHeight="1">
      <x:c r="A31" s="2" t="n">
        <x:v>25</x:v>
      </x:c>
      <x:c r="B31" s="12" t="n">
        <x:f>'Entradas'!$B$19*'Entradas'!$B$20/1000000/(A31/1000)</x:f>
        <x:v>120.99999999999999</x:v>
      </x:c>
      <x:c r="C31" s="12" t="n">
        <x:f>B31*'Entradas'!$B$21</x:f>
        <x:v>604.9999999999999</x:v>
      </x:c>
      <x:c r="D31" s="2" t="str">
        <x:v>Hipótesis, no lente seleccionada</x:v>
      </x:c>
      <x:c r="E31" s="2"/>
      <x:c r="F31" s="2"/>
    </x:row>
    <x:row r="32" ht="26" customHeight="1">
      <x:c r="A32" s="2" t="n">
        <x:v>50</x:v>
      </x:c>
      <x:c r="B32" s="12" t="n">
        <x:f>'Entradas'!$B$19*'Entradas'!$B$20/1000000/(A32/1000)</x:f>
        <x:v>60.49999999999999</x:v>
      </x:c>
      <x:c r="C32" s="12" t="n">
        <x:f>B32*'Entradas'!$B$21</x:f>
        <x:v>302.49999999999994</x:v>
      </x:c>
      <x:c r="D32" s="2" t="str">
        <x:v>Hipótesis, no lente seleccionada</x:v>
      </x:c>
      <x:c r="E32" s="2"/>
      <x:c r="F32" s="2"/>
    </x:row>
    <x:row r="33" ht="26" customHeight="1">
      <x:c r="A33" s="2" t="n">
        <x:v>100</x:v>
      </x:c>
      <x:c r="B33" s="12" t="n">
        <x:f>'Entradas'!$B$19*'Entradas'!$B$20/1000000/(A33/1000)</x:f>
        <x:v>30.249999999999996</x:v>
      </x:c>
      <x:c r="C33" s="12" t="n">
        <x:f>B33*'Entradas'!$B$21</x:f>
        <x:v>151.24999999999997</x:v>
      </x:c>
      <x:c r="D33" s="2" t="str">
        <x:v>Hipótesis, no lente seleccionada</x:v>
      </x:c>
      <x:c r="E33" s="2"/>
      <x:c r="F33" s="2"/>
    </x:row>
    <x:row r="34" ht="26" customHeight="1">
      <x:c r="A34" s="2"/>
      <x:c r="B34" s="2"/>
      <x:c r="C34" s="2"/>
      <x:c r="D34" s="2"/>
      <x:c r="E34" s="2"/>
      <x:c r="F34" s="2"/>
    </x:row>
    <x:row r="35" ht="26" customHeight="1">
      <x:c r="A35" s="2" t="str">
        <x:v>La capacidad de observación de lotes a 550 km sigue sin demostrarse.</x:v>
      </x:c>
      <x:c r="B35" s="2"/>
      <x:c r="C35" s="2"/>
      <x:c r="D35" s="2"/>
      <x:c r="E35" s="2"/>
      <x:c r="F35" s="2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/>
      <x:c r="B37" s="2"/>
      <x:c r="C37" s="2"/>
      <x:c r="D37" s="2"/>
      <x:c r="E37" s="2"/>
      <x:c r="F37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B5863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24" hidden="0" customWidth="1"/>
    <x:col min="5" max="5" width="16" hidden="0" customWidth="1"/>
    <x:col min="6" max="6" width="5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Cámara XIMEA: datos y supuestos</x:v>
      </x:c>
      <x:c r="B2" s="2"/>
      <x:c r="C2" s="2"/>
      <x:c r="D2" s="2"/>
      <x:c r="E2" s="2"/>
      <x:c r="F2" s="2"/>
    </x:row>
    <x:row r="3" ht="26" customHeight="1">
      <x:c r="A3" s="2" t="str">
        <x:v>Selección eléctrica académica. Consulta: 2026-10-24. Amarillo: supuestos o datos por completar.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Parámetro</x:v>
      </x:c>
      <x:c r="B5" s="5" t="str">
        <x:v>Valor</x:v>
      </x:c>
      <x:c r="C5" s="5" t="str">
        <x:v>Unidad</x:v>
      </x:c>
      <x:c r="D5" s="5" t="str">
        <x:v>Tipo</x:v>
      </x:c>
      <x:c r="E5" s="5" t="str">
        <x:v>Fuente</x:v>
      </x:c>
      <x:c r="F5" s="5" t="str">
        <x:v>Alcance</x:v>
      </x:c>
    </x:row>
    <x:row r="6" ht="43" customHeight="1">
      <x:c r="A6" s="6" t="str">
        <x:v>Ancho del cuadro</x:v>
      </x:c>
      <x:c r="B6" s="7" t="n">
        <x:v>2048</x:v>
      </x:c>
      <x:c r="C6" s="6" t="str">
        <x:v>píxeles</x:v>
      </x:c>
      <x:c r="D6" s="6" t="str">
        <x:v>Fabricante</x:v>
      </x:c>
      <x:c r="E6" s="6" t="str">
        <x:v>SRC-001</x:v>
      </x:c>
      <x:c r="F6" s="6" t="str">
        <x:v>Cuadro bruto completo</x:v>
      </x:c>
    </x:row>
    <x:row r="7" ht="43" customHeight="1">
      <x:c r="A7" s="6" t="str">
        <x:v>Alto del cuadro</x:v>
      </x:c>
      <x:c r="B7" s="7" t="n">
        <x:v>1088</x:v>
      </x:c>
      <x:c r="C7" s="6" t="str">
        <x:v>píxeles</x:v>
      </x:c>
      <x:c r="D7" s="6" t="str">
        <x:v>Fabricante</x:v>
      </x:c>
      <x:c r="E7" s="6" t="str">
        <x:v>SRC-001</x:v>
      </x:c>
      <x:c r="F7" s="6" t="str">
        <x:v>Cuadro bruto completo</x:v>
      </x:c>
    </x:row>
    <x:row r="8" ht="43" customHeight="1">
      <x:c r="A8" s="6" t="str">
        <x:v>Profundidad del sensor</x:v>
      </x:c>
      <x:c r="B8" s="7" t="n">
        <x:v>10</x:v>
      </x:c>
      <x:c r="C8" s="6" t="str">
        <x:v>bits/muestra</x:v>
      </x:c>
      <x:c r="D8" s="6" t="str">
        <x:v>Fabricante</x:v>
      </x:c>
      <x:c r="E8" s="6" t="str">
        <x:v>SRC-001</x:v>
      </x:c>
      <x:c r="F8" s="6" t="str">
        <x:v>No equivale al tamaño del contenedor</x:v>
      </x:c>
    </x:row>
    <x:row r="9" ht="43" customHeight="1">
      <x:c r="A9" s="6" t="str">
        <x:v>Contenedor RAW16</x:v>
      </x:c>
      <x:c r="B9" s="8" t="n">
        <x:v>16</x:v>
      </x:c>
      <x:c r="C9" s="6" t="str">
        <x:v>bits/muestra</x:v>
      </x:c>
      <x:c r="D9" s="6" t="str">
        <x:v>Criterio de cálculo</x:v>
      </x:c>
      <x:c r="E9" s="6" t="str">
        <x:v>SRC-002</x:v>
      </x:c>
      <x:c r="F9" s="6" t="str">
        <x:v>Sin compresión; datos originales en RAW16</x:v>
      </x:c>
    </x:row>
    <x:row r="10" ht="43" customHeight="1">
      <x:c r="A10" s="6" t="str">
        <x:v>Adquisiciones al día</x:v>
      </x:c>
      <x:c r="B10" s="8" t="n">
        <x:v>10</x:v>
      </x:c>
      <x:c r="C10" s="6" t="str">
        <x:v>adquisiciones/día</x:v>
      </x:c>
      <x:c r="D10" s="6" t="str">
        <x:v>Supuesto acordado</x:v>
      </x:c>
      <x:c r="E10" s="6" t="str">
        <x:v>Lab 3 / acuerdo</x:v>
      </x:c>
      <x:c r="F10" s="6" t="str">
        <x:v>Sujeto a revisión del enlace</x:v>
      </x:c>
    </x:row>
    <x:row r="11" ht="43" customHeight="1">
      <x:c r="A11" s="6" t="str">
        <x:v>Cuadros por adquisición</x:v>
      </x:c>
      <x:c r="B11" s="8" t="n">
        <x:v>1</x:v>
      </x:c>
      <x:c r="C11" s="6" t="str">
        <x:v>cuadros</x:v>
      </x:c>
      <x:c r="D11" s="6" t="str">
        <x:v>Supuesto de cálculo</x:v>
      </x:c>
      <x:c r="E11" s="6" t="str">
        <x:v>Definición</x:v>
      </x:c>
      <x:c r="F11" s="6" t="str">
        <x:v>Una captura = un cuadro bruto</x:v>
      </x:c>
    </x:row>
    <x:row r="12" ht="43" customHeight="1">
      <x:c r="A12" s="6" t="str">
        <x:v>Contacto diario</x:v>
      </x:c>
      <x:c r="B12" s="8" t="n">
        <x:v>600</x:v>
      </x:c>
      <x:c r="C12" s="6" t="str">
        <x:v>s/día</x:v>
      </x:c>
      <x:c r="D12" s="6" t="str">
        <x:v>Supuesto acordado</x:v>
      </x:c>
      <x:c r="E12" s="6" t="str">
        <x:v>Lab 3 / acuerdo</x:v>
      </x:c>
      <x:c r="F12" s="6" t="str">
        <x:v>No validado mediante análisis orbital</x:v>
      </x:c>
    </x:row>
    <x:row r="13" ht="43" customHeight="1">
      <x:c r="A13" s="6" t="str">
        <x:v>Metadatos y relleno por cuadro</x:v>
      </x:c>
      <x:c r="B13" s="8" t="n">
        <x:v>0</x:v>
      </x:c>
      <x:c r="C13" s="6" t="str">
        <x:v>bytes</x:v>
      </x:c>
      <x:c r="D13" s="6" t="str">
        <x:v>Supuesto de cálculo</x:v>
      </x:c>
      <x:c r="E13" s="6" t="str">
        <x:v>Por verificar</x:v>
      </x:c>
      <x:c r="F13" s="6" t="str">
        <x:v>Cota sin sobrecarga del archivo</x:v>
      </x:c>
    </x:row>
    <x:row r="14" ht="43" customHeight="1">
      <x:c r="A14" s="6" t="str">
        <x:v>Telemetría y eventos diarios</x:v>
      </x:c>
      <x:c r="B14" s="8"/>
      <x:c r="C14" s="6" t="str">
        <x:v>MB/día</x:v>
      </x:c>
      <x:c r="D14" s="6" t="str">
        <x:v>Pendiente</x:v>
      </x:c>
      <x:c r="E14" s="6" t="str">
        <x:v>Por dimensionar</x:v>
      </x:c>
      <x:c r="F14" s="6" t="str">
        <x:v>Vacío significa desconocido, no cero</x:v>
      </x:c>
    </x:row>
    <x:row r="15" ht="43" customHeight="1">
      <x:c r="A15" s="6" t="str">
        <x:v>Fracción útil del enlace</x:v>
      </x:c>
      <x:c r="B15" s="9"/>
      <x:c r="C15" s="6" t="str">
        <x:v>fracción</x:v>
      </x:c>
      <x:c r="D15" s="6" t="str">
        <x:v>Pendiente</x:v>
      </x:c>
      <x:c r="E15" s="6" t="str">
        <x:v>Protocolo futuro</x:v>
      </x:c>
      <x:c r="F15" s="6" t="str">
        <x:v>Mayor que cero y hasta 1</x:v>
      </x:c>
    </x:row>
    <x:row r="16" ht="43" customHeight="1">
      <x:c r="A16" s="6" t="str">
        <x:v>Potencia publicada de cámara</x:v>
      </x:c>
      <x:c r="B16" s="7" t="n">
        <x:v>1.6</x:v>
      </x:c>
      <x:c r="C16" s="6" t="str">
        <x:v>W</x:v>
      </x:c>
      <x:c r="D16" s="6" t="str">
        <x:v>Fabricante</x:v>
      </x:c>
      <x:c r="E16" s="6" t="str">
        <x:v>SRC-001</x:v>
      </x:c>
      <x:c r="F16" s="6" t="str">
        <x:v>No se identifica como máximo de arranque</x:v>
      </x:c>
    </x:row>
    <x:row r="17" ht="43" customHeight="1">
      <x:c r="A17" s="6" t="str">
        <x:v>Tensión para equivalencia</x:v>
      </x:c>
      <x:c r="B17" s="8" t="n">
        <x:v>5</x:v>
      </x:c>
      <x:c r="C17" s="6" t="str">
        <x:v>V</x:v>
      </x:c>
      <x:c r="D17" s="6" t="str">
        <x:v>Supuesto nominal</x:v>
      </x:c>
      <x:c r="E17" s="6" t="str">
        <x:v>USB / cálculo</x:v>
      </x:c>
      <x:c r="F17" s="6" t="str">
        <x:v>Verificar tolerancia y entrega de corriente</x:v>
      </x:c>
    </x:row>
    <x:row r="18" ht="43" customHeight="1">
      <x:c r="A18" s="6" t="str">
        <x:v>Tiempo encendida por día</x:v>
      </x:c>
      <x:c r="B18" s="8"/>
      <x:c r="C18" s="6" t="str">
        <x:v>s/día</x:v>
      </x:c>
      <x:c r="D18" s="6" t="str">
        <x:v>Pendiente</x:v>
      </x:c>
      <x:c r="E18" s="6" t="str">
        <x:v>Modos futuros</x:v>
      </x:c>
      <x:c r="F18" s="6" t="str">
        <x:v>Incluye arranque, captura y lectura</x:v>
      </x:c>
    </x:row>
    <x:row r="19" ht="43" customHeight="1">
      <x:c r="A19" s="6" t="str">
        <x:v>Altura orbital de referencia</x:v>
      </x:c>
      <x:c r="B19" s="8" t="n">
        <x:v>550000</x:v>
      </x:c>
      <x:c r="C19" s="6" t="str">
        <x:v>m</x:v>
      </x:c>
      <x:c r="D19" s="6" t="str">
        <x:v>Requisito heredado</x:v>
      </x:c>
      <x:c r="E19" s="6" t="str">
        <x:v>Lab 3</x:v>
      </x:c>
      <x:c r="F19" s="6" t="str">
        <x:v>Proyección al nadir, plano local</x:v>
      </x:c>
    </x:row>
    <x:row r="20" ht="43" customHeight="1">
      <x:c r="A20" s="6" t="str">
        <x:v>Paso físico de píxel</x:v>
      </x:c>
      <x:c r="B20" s="7" t="n">
        <x:v>5.5</x:v>
      </x:c>
      <x:c r="C20" s="6" t="str">
        <x:v>µm</x:v>
      </x:c>
      <x:c r="D20" s="6" t="str">
        <x:v>Fabricante</x:v>
      </x:c>
      <x:c r="E20" s="6" t="str">
        <x:v>SRC-001</x:v>
      </x:c>
      <x:c r="F20" s="6" t="str">
        <x:v>Distancia entre centros de píxel</x:v>
      </x:c>
    </x:row>
    <x:row r="21" ht="43" customHeight="1">
      <x:c r="A21" s="6" t="str">
        <x:v>Periodo del mosaico</x:v>
      </x:c>
      <x:c r="B21" s="7" t="n">
        <x:v>5</x:v>
      </x:c>
      <x:c r="C21" s="6" t="str">
        <x:v>píxeles</x:v>
      </x:c>
      <x:c r="D21" s="6" t="str">
        <x:v>Fabricante</x:v>
      </x:c>
      <x:c r="E21" s="6" t="str">
        <x:v>SRC-002</x:v>
      </x:c>
      <x:c r="F21" s="6" t="str">
        <x:v>Separación nominal de una misma banda</x:v>
      </x:c>
    </x:row>
    <x:row r="22" ht="43" customHeight="1">
      <x:c r="A22" s="6" t="str">
        <x:v>Focal para explorar</x:v>
      </x:c>
      <x:c r="B22" s="8" t="n">
        <x:v>50</x:v>
      </x:c>
      <x:c r="C22" s="6" t="str">
        <x:v>mm</x:v>
      </x:c>
      <x:c r="D22" s="6" t="str">
        <x:v>Hipótesis óptica</x:v>
      </x:c>
      <x:c r="E22" s="6" t="str">
        <x:v>Exploración</x:v>
      </x:c>
      <x:c r="F22" s="6" t="str">
        <x:v>No representa una lente seleccionada</x:v>
      </x:c>
    </x:row>
    <x:row r="23" ht="43" customHeight="1">
      <x:c r="A23" s="6" t="str">
        <x:v>Paso de banda objetivo</x:v>
      </x:c>
      <x:c r="B23" s="8" t="n">
        <x:v>30</x:v>
      </x:c>
      <x:c r="C23" s="6" t="str">
        <x:v>m</x:v>
      </x:c>
      <x:c r="D23" s="6" t="str">
        <x:v>Hipótesis óptica</x:v>
      </x:c>
      <x:c r="E23" s="6" t="str">
        <x:v>Exploración</x:v>
      </x:c>
      <x:c r="F23" s="6" t="str">
        <x:v>Ejemplo, no requisito aprobado</x:v>
      </x:c>
    </x:row>
    <x:row r="24" ht="43" customHeight="1">
      <x:c r="A24" s="6" t="str">
        <x:v>Retención sin descarga</x:v>
      </x:c>
      <x:c r="B24" s="8"/>
      <x:c r="C24" s="6" t="str">
        <x:v>días</x:v>
      </x:c>
      <x:c r="D24" s="6" t="str">
        <x:v>Pendiente</x:v>
      </x:c>
      <x:c r="E24" s="6" t="str">
        <x:v>Misión futura</x:v>
      </x:c>
      <x:c r="F24" s="6" t="str">
        <x:v>Falta acordar autonomía requerida</x:v>
      </x:c>
    </x:row>
    <x:row r="25" ht="43" customHeight="1">
      <x:c r="A25" s="6" t="str">
        <x:v>Reserva de almacenamiento</x:v>
      </x:c>
      <x:c r="B25" s="8"/>
      <x:c r="C25" s="6" t="str">
        <x:v>MB</x:v>
      </x:c>
      <x:c r="D25" s="6" t="str">
        <x:v>Pendiente</x:v>
      </x:c>
      <x:c r="E25" s="6" t="str">
        <x:v>Por dimensionar</x:v>
      </x:c>
      <x:c r="F25" s="6" t="str">
        <x:v>Reserva adicional libre</x:v>
      </x:c>
    </x:row>
    <x:row r="26" ht="43" customHeight="1">
      <x:c r="A26" s="6" t="str">
        <x:v>Datos previos almacenados</x:v>
      </x:c>
      <x:c r="B26" s="8"/>
      <x:c r="C26" s="6" t="str">
        <x:v>MB</x:v>
      </x:c>
      <x:c r="D26" s="6" t="str">
        <x:v>Pendiente</x:v>
      </x:c>
      <x:c r="E26" s="6" t="str">
        <x:v>Escenario futuro</x:v>
      </x:c>
      <x:c r="F26" s="6" t="str">
        <x:v>Falta definir ocupación inicial</x:v>
      </x:c>
    </x:row>
    <x:row r="27" ht="26" customHeight="1">
      <x:c r="A27" s="2"/>
      <x:c r="B27" s="2"/>
      <x:c r="C27" s="2"/>
      <x:c r="D27" s="2"/>
      <x:c r="E27" s="2"/>
      <x:c r="F27" s="2"/>
    </x:row>
    <x:row r="28" ht="26" customHeight="1">
      <x:c r="A28" s="2"/>
      <x:c r="B28" s="2"/>
      <x:c r="C28" s="2"/>
      <x:c r="D28" s="2"/>
      <x:c r="E28" s="2"/>
      <x:c r="F28" s="2"/>
    </x:row>
    <x:row r="29" ht="26" customHeight="1">
      <x:c r="A29" s="2" t="str">
        <x:v>Fuentes de los datos de entrada</x:v>
      </x:c>
      <x:c r="B29" s="2"/>
      <x:c r="C29" s="2"/>
      <x:c r="D29" s="2"/>
      <x:c r="E29" s="2"/>
      <x:c r="F29" s="2"/>
    </x:row>
    <x:row r="30" ht="26" customHeight="1">
      <x:c r="A30" s="2"/>
      <x:c r="B30" s="2"/>
      <x:c r="C30" s="2"/>
      <x:c r="D30" s="2"/>
      <x:c r="E30" s="2"/>
      <x:c r="F30" s="2"/>
    </x:row>
    <x:row r="31" ht="26" customHeight="1">
      <x:c r="A31" s="2" t="str">
        <x:v>SRC-001</x:v>
      </x:c>
      <x:c r="B31" s="2" t="str">
        <x:v>Ficha específica 7NIR2, tablas de especificaciones</x:v>
      </x:c>
      <x:c r="C31" s="2"/>
      <x:c r="D31" s="2"/>
      <x:c r="E31" s="2"/>
      <x:c r="F31" s="2"/>
    </x:row>
    <x:row r="32" ht="45" customHeight="1">
      <x:c r="A32" s="6" t="str">
        <x:v>https://www.ximea.com/products/hyperspectral-imaging/xispec-hyperspectral-miniature-cameras/imec-sm-range-600-1000-usb3-hyperspectral-camera</x:v>
      </x:c>
      <x:c r="B32" s="6"/>
      <x:c r="C32" s="6"/>
      <x:c r="D32" s="6"/>
      <x:c r="E32" s="6"/>
      <x:c r="F32" s="6"/>
    </x:row>
    <x:row r="33" ht="26" customHeight="1">
      <x:c r="A33" s="2"/>
      <x:c r="B33" s="2"/>
      <x:c r="C33" s="2"/>
      <x:c r="D33" s="2"/>
      <x:c r="E33" s="2"/>
      <x:c r="F33" s="2"/>
    </x:row>
    <x:row r="34" ht="26" customHeight="1">
      <x:c r="A34" s="2" t="str">
        <x:v>SRC-002</x:v>
      </x:c>
      <x:c r="B34" s="2" t="str">
        <x:v>Manual xiSpec2, portada 2.03; secciones 3.4, 4.1 y 10.1</x:v>
      </x:c>
      <x:c r="C34" s="2"/>
      <x:c r="D34" s="2"/>
      <x:c r="E34" s="2"/>
      <x:c r="F34" s="2"/>
    </x:row>
    <x:row r="35" ht="45" customHeight="1">
      <x:c r="A35" s="6" t="str">
        <x:v>https://www.ximea.com/getattachment/b750b3ca-2b30-42bf-bc83-4c5261ef52c6/xiSpec-Hyperspectral-HSI-mini-cameras_Technical-manual-DWL_manual.pdf</x:v>
      </x:c>
      <x:c r="B35" s="6"/>
      <x:c r="C35" s="6"/>
      <x:c r="D35" s="6"/>
      <x:c r="E35" s="6"/>
      <x:c r="F35" s="6"/>
    </x:row>
    <x:row r="36" ht="26" customHeight="1">
      <x:c r="A36" s="2"/>
      <x:c r="B36" s="2"/>
      <x:c r="C36" s="2"/>
      <x:c r="D36" s="2"/>
      <x:c r="E36" s="2"/>
      <x:c r="F36" s="2"/>
    </x:row>
    <x:row r="37" ht="26" customHeight="1">
      <x:c r="A37" s="2" t="str">
        <x:v>SRC-003</x:v>
      </x:c>
      <x:c r="B37" s="2" t="str">
        <x:v>Software XIMEA Linux; plataformas probadas</x:v>
      </x:c>
      <x:c r="C37" s="2"/>
      <x:c r="D37" s="2"/>
      <x:c r="E37" s="2"/>
      <x:c r="F37" s="2"/>
    </x:row>
    <x:row r="38" ht="45" customHeight="1">
      <x:c r="A38" s="6" t="str">
        <x:v>https://www.ximea.com/support/wiki/apis/XIMEA_Linux_Software_Package</x:v>
      </x:c>
      <x:c r="B38" s="6"/>
      <x:c r="C38" s="6"/>
      <x:c r="D38" s="6"/>
      <x:c r="E38" s="6"/>
      <x:c r="F38" s="6"/>
    </x:row>
    <x:row r="39" ht="26" customHeight="1">
      <x:c r="A39" s="2"/>
      <x:c r="B39" s="2"/>
      <x:c r="C39" s="2"/>
      <x:c r="D39" s="2"/>
      <x:c r="E39" s="2"/>
      <x:c r="F39" s="2"/>
    </x:row>
    <x:row r="40" ht="26" customHeight="1">
      <x:c r="A40" s="2" t="str">
        <x:v>SRC-004</x:v>
      </x:c>
      <x:c r="B40" s="2" t="str">
        <x:v>Geometría de muestreo; referencia conceptual</x:v>
      </x:c>
      <x:c r="C40" s="2"/>
      <x:c r="D40" s="2"/>
      <x:c r="E40" s="2"/>
      <x:c r="F40" s="2"/>
    </x:row>
    <x:row r="41" ht="45" customHeight="1">
      <x:c r="A41" s="6" t="str">
        <x:v>https://www.edmundoptics.com/knowledge-center/application-notes/imaging/imaging-lenses-for-uavs/</x:v>
      </x:c>
      <x:c r="B41" s="6"/>
      <x:c r="C41" s="6"/>
      <x:c r="D41" s="6"/>
      <x:c r="E41" s="6"/>
      <x:c r="F41" s="6"/>
    </x:row>
    <x:row r="42" ht="26" customHeight="1">
      <x:c r="A42" s="2"/>
      <x:c r="B42" s="2"/>
      <x:c r="C42" s="2"/>
      <x:c r="D42" s="2"/>
      <x:c r="E42" s="2"/>
      <x:c r="F42" s="2"/>
    </x:row>
    <x:row r="43" ht="26" customHeight="1">
      <x:c r="A43" s="2"/>
      <x:c r="B43" s="2"/>
      <x:c r="C43" s="2"/>
      <x:c r="D43" s="2"/>
      <x:c r="E43" s="2"/>
      <x:c r="F43" s="2"/>
    </x:row>
  </x:sheetData>
  <x:mergeCells>
    <x:mergeCell ref="B31:F31"/>
    <x:mergeCell ref="A32:F32"/>
    <x:mergeCell ref="B34:F34"/>
    <x:mergeCell ref="A35:F35"/>
    <x:mergeCell ref="B37:F37"/>
    <x:mergeCell ref="A38:F38"/>
    <x:mergeCell ref="B40:F40"/>
    <x:mergeCell ref="A41:F41"/>
  </x:mergeCells>
  <x:dataValidations count="8">
    <x:dataValidation type="list" sqref="B9">
      <x:formula1>"16"</x:formula1>
    </x:dataValidation>
    <x:dataValidation type="decimal" operator="greaterThan" sqref="B6:B8">
      <x:formula1>0</x:formula1>
    </x:dataValidation>
    <x:dataValidation type="decimal" operator="greaterThan" sqref="B10:B12">
      <x:formula1>0</x:formula1>
    </x:dataValidation>
    <x:dataValidation type="decimal" operator="greaterThan" sqref="B19:B23">
      <x:formula1>0</x:formula1>
    </x:dataValidation>
    <x:dataValidation type="decimal" operator="between" sqref="B15">
      <x:formula1>0.000001</x:formula1>
      <x:formula2>1</x:formula2>
    </x:dataValidation>
    <x:dataValidation type="decimal" operator="greaterThanOrEqual" sqref="B13:B14">
      <x:formula1>0</x:formula1>
    </x:dataValidation>
    <x:dataValidation type="decimal" operator="greaterThanOrEqual" sqref="B18">
      <x:formula1>0</x:formula1>
    </x:dataValidation>
    <x:dataValidation type="decimal" operator="greaterThanOrEqual" sqref="B24:B26">
      <x:formula1>0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42" hidden="0" customWidth="1"/>
    <x:col min="4" max="4" width="32" hidden="0" customWidth="1"/>
    <x:col min="5" max="5" width="42" hidden="0" customWidth="1"/>
    <x:col min="6" max="6" width="34" hidden="0" customWidth="1"/>
  </x:cols>
  <x:sheetData>
    <x:row r="1" ht="26" customHeight="1">
      <x:c r="A1" s="2"/>
      <x:c r="B1" s="2"/>
      <x:c r="C1" s="2"/>
      <x:c r="D1" s="2"/>
      <x:c r="E1" s="2"/>
      <x:c r="F1" s="2"/>
    </x:row>
    <x:row r="2" ht="26" customHeight="1">
      <x:c r="A2" s="3" t="str">
        <x:v>Matriz inicial de restricciones de PCB</x:v>
      </x:c>
      <x:c r="B2" s="2"/>
      <x:c r="C2" s="2"/>
      <x:c r="D2" s="2"/>
      <x:c r="E2" s="2"/>
      <x:c r="F2" s="2"/>
    </x:row>
    <x:row r="3" ht="26" customHeight="1">
      <x:c r="A3" s="2" t="str">
        <x:v>Objetivos y verificaciones pendientes. No se han configurado reglas en Altium.</x:v>
      </x:c>
      <x:c r="B3" s="2"/>
      <x:c r="C3" s="2"/>
      <x:c r="D3" s="2"/>
      <x:c r="E3" s="2"/>
      <x:c r="F3" s="2"/>
    </x:row>
    <x:row r="4" ht="26" customHeight="1">
      <x:c r="A4" s="2"/>
      <x:c r="B4" s="2"/>
      <x:c r="C4" s="2"/>
      <x:c r="D4" s="2"/>
      <x:c r="E4" s="2"/>
      <x:c r="F4" s="2"/>
    </x:row>
    <x:row r="5" ht="30" customHeight="1">
      <x:c r="A5" s="5" t="str">
        <x:v>ID</x:v>
      </x:c>
      <x:c r="B5" s="5" t="str">
        <x:v>Trazabilidad</x:v>
      </x:c>
      <x:c r="C5" s="5" t="str">
        <x:v>Restricción y alcance</x:v>
      </x:c>
      <x:c r="D5" s="5" t="str">
        <x:v>Fuente y fundamento</x:v>
      </x:c>
      <x:c r="E5" s="5" t="str">
        <x:v>Aplicación y verificación</x:v>
      </x:c>
      <x:c r="F5" s="5" t="str">
        <x:v>Estado</x:v>
      </x:c>
    </x:row>
    <x:row r="6" ht="86" customHeight="1">
      <x:c r="A6" s="6" t="str">
        <x:v>PCB-01</x:v>
      </x:c>
      <x:c r="B6" s="6" t="str">
        <x:v>IF-07/08; RNF-03</x:v>
      </x:c>
      <x:c r="C6" s="6" t="str">
        <x:v>Interfaz de cámara compatible con USB3 y función anfitrión.</x:v>
      </x:c>
      <x:c r="D6" s="6" t="str">
        <x:v>SRC-001/003; requisito de interfaz</x:v>
      </x:c>
      <x:c r="E6" s="6" t="str">
        <x:v>Esquemático y compatibilidad de controlador, SDK y sistema.</x:v>
      </x:c>
      <x:c r="F6" s="6" t="str">
        <x:v>Pendiente de computador</x:v>
      </x:c>
    </x:row>
    <x:row r="7" ht="86" customHeight="1">
      <x:c r="A7" s="6" t="str">
        <x:v>PCB-02</x:v>
      </x:c>
      <x:c r="B7" s="6" t="str">
        <x:v>IF-08; RNF-03</x:v>
      </x:c>
      <x:c r="C7" s="6" t="str">
        <x:v>Definir impedancia, retornos y longitudes de las redes USB elegidas.</x:v>
      </x:c>
      <x:c r="D7" s="6" t="str">
        <x:v>Inferencia; falta documentación del controlador</x:v>
      </x:c>
      <x:c r="E7" s="6" t="str">
        <x:v>Matriz y reglas posteriores según PHY, conector y apilamiento.</x:v>
      </x:c>
      <x:c r="F7" s="6" t="str">
        <x:v>Sin geometrías asignadas</x:v>
      </x:c>
    </x:row>
    <x:row r="8" ht="86" customHeight="1">
      <x:c r="A8" s="6" t="str">
        <x:v>PCB-03</x:v>
      </x:c>
      <x:c r="B8" s="6" t="str">
        <x:v>IF-02; ET-02</x:v>
      </x:c>
      <x:c r="C8" s="6" t="str">
        <x:v>Dimensionar alimentación de cámara por consumo máximo y arranque.</x:v>
      </x:c>
      <x:c r="D8" s="6" t="str">
        <x:v>SRC-001 solo publica 1,6 W; máximo pendiente</x:v>
      </x:c>
      <x:c r="E8" s="6" t="str">
        <x:v>Cálculo de corriente, protección, caída y secuencia.</x:v>
      </x:c>
      <x:c r="F8" s="6" t="str">
        <x:v>No usar 0,32 A como máximo</x:v>
      </x:c>
    </x:row>
    <x:row r="9" ht="86" customHeight="1">
      <x:c r="A9" s="6" t="str">
        <x:v>PCB-04</x:v>
      </x:c>
      <x:c r="B9" s="6" t="str">
        <x:v>ET-03; RNF-01</x:v>
      </x:c>
      <x:c r="C9" s="6" t="str">
        <x:v>Verificar acceso del cable de cámara y envolvente de conector.</x:v>
      </x:c>
      <x:c r="D9" s="6" t="str">
        <x:v>Integración; falta elección de conector</x:v>
      </x:c>
      <x:c r="E9" s="6" t="str">
        <x:v>Comprobación mecánica con PCB y carga útil.</x:v>
      </x:c>
      <x:c r="F9" s="6" t="str">
        <x:v>Pendiente</x:v>
      </x:c>
    </x:row>
    <x:row r="10" ht="86" customHeight="1">
      <x:c r="A10" s="6" t="str">
        <x:v>PCB-05</x:v>
      </x:c>
      <x:c r="B10" s="6" t="str">
        <x:v>IF-07; arranque</x:v>
      </x:c>
      <x:c r="C10" s="6" t="str">
        <x:v>Definir captura y alimentación durante reinicio del computador.</x:v>
      </x:c>
      <x:c r="D10" s="6" t="str">
        <x:v>Criterio de diseño acordado</x:v>
      </x:c>
      <x:c r="E10" s="6" t="str">
        <x:v>Notas del esquema y revisión de estados por dispositivo.</x:v>
      </x:c>
      <x:c r="F10" s="6" t="str">
        <x:v>Pendiente de implementación</x:v>
      </x:c>
    </x:row>
    <x:row r="11" ht="26" customHeight="1">
      <x:c r="A11" s="2"/>
      <x:c r="B11" s="2"/>
      <x:c r="C11" s="2"/>
      <x:c r="D11" s="2"/>
      <x:c r="E11" s="2"/>
      <x:c r="F11" s="2"/>
    </x:row>
    <x:row r="12" ht="26" customHeight="1">
      <x:c r="A12" s="2"/>
      <x:c r="B12" s="2"/>
      <x:c r="C12" s="2"/>
      <x:c r="D12" s="2"/>
      <x:c r="E12" s="2"/>
      <x:c r="F12" s="2"/>
    </x:row>
  </x:sheetData>
  <x:pageMargins left="0.7" right="0.7" top="0.75" bottom="0.75" header="0.3" footer="0.3"/>
</x:worksheet>
</file>